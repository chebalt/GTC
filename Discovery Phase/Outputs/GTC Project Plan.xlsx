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wmcgroup-my.sharepoint.com/personal/jpiroutek_actum_cz/Documents/"/>
    </mc:Choice>
  </mc:AlternateContent>
  <xr:revisionPtr revIDLastSave="0" documentId="8_{7ABFF670-446B-4B65-A25F-9071614B44E4}" xr6:coauthVersionLast="47" xr6:coauthVersionMax="47" xr10:uidLastSave="{00000000-0000-0000-0000-000000000000}"/>
  <bookViews>
    <workbookView xWindow="-120" yWindow="-120" windowWidth="29040" windowHeight="17520" tabRatio="569" xr2:uid="{7E74F859-5B8B-4E97-8DCB-6F93E48E25BB}"/>
  </bookViews>
  <sheets>
    <sheet name="Technical Enablement" sheetId="2" r:id="rId1"/>
    <sheet name="Mapping" sheetId="9" state="hidden" r:id="rId2"/>
    <sheet name="Sheet1" sheetId="5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" l="1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9" i="2"/>
  <c r="G5" i="2"/>
  <c r="G6" i="2"/>
  <c r="G7" i="2"/>
  <c r="G8" i="2"/>
  <c r="F45" i="9" l="1"/>
  <c r="F44" i="9"/>
  <c r="C44" i="9"/>
  <c r="C45" i="9" l="1"/>
  <c r="E103" i="2"/>
  <c r="F103" i="2"/>
  <c r="G4" i="2"/>
  <c r="G3" i="2"/>
  <c r="G107" i="2" l="1"/>
  <c r="G103" i="2"/>
  <c r="G108" i="2"/>
  <c r="G109" i="2"/>
  <c r="C4" i="9"/>
</calcChain>
</file>

<file path=xl/sharedStrings.xml><?xml version="1.0" encoding="utf-8"?>
<sst xmlns="http://schemas.openxmlformats.org/spreadsheetml/2006/main" count="166" uniqueCount="157">
  <si>
    <t>Epic</t>
  </si>
  <si>
    <t>User Story</t>
  </si>
  <si>
    <t>Type</t>
  </si>
  <si>
    <t>Dev Scope</t>
  </si>
  <si>
    <t>Est. BE</t>
  </si>
  <si>
    <t xml:space="preserve">Est. FE </t>
  </si>
  <si>
    <t>Estimation</t>
  </si>
  <si>
    <t>Comment</t>
  </si>
  <si>
    <t>Foundation Configuration</t>
  </si>
  <si>
    <t>CI/CD pipelines for Middleware</t>
  </si>
  <si>
    <t>Sitecore Multisite Configuration &amp; GTC Site Setup</t>
  </si>
  <si>
    <t>Vercel multisite project configuration for GTC</t>
  </si>
  <si>
    <t>GTC site definition in Sitecore</t>
  </si>
  <si>
    <t>Local dev environment setup for GTC developers</t>
  </si>
  <si>
    <t>CI/CD pipelines in Vercel for GTC project</t>
  </si>
  <si>
    <t>Cloud SQL (PostgreSQL) instance provisioning</t>
  </si>
  <si>
    <t>Middleware project scaffold and Cloud Run deployment pipeline</t>
  </si>
  <si>
    <t>Content Model &amp; Data Templates</t>
  </si>
  <si>
    <t>Collection Page</t>
  </si>
  <si>
    <t>Story Page</t>
  </si>
  <si>
    <t>Quiz page</t>
  </si>
  <si>
    <t>Data Items - Chapter, Course, Question, Menu Category</t>
  </si>
  <si>
    <t>Home Page</t>
  </si>
  <si>
    <t>GTC General Page</t>
  </si>
  <si>
    <t>Can we reuse the Neo page?</t>
  </si>
  <si>
    <t>Main Layout and Navigation</t>
  </si>
  <si>
    <t>Menu Navigation</t>
  </si>
  <si>
    <t>Header</t>
  </si>
  <si>
    <t>Footer</t>
  </si>
  <si>
    <t>Publishing Workflow</t>
  </si>
  <si>
    <t>Publishing Workflow implementation</t>
  </si>
  <si>
    <t>Phraze Integration</t>
  </si>
  <si>
    <t>Phrase Integration implementation</t>
  </si>
  <si>
    <t>Cookies Consent integration</t>
  </si>
  <si>
    <t>Cookies Consent integration implementation</t>
  </si>
  <si>
    <t>Analytics</t>
  </si>
  <si>
    <t>GTM analytics integration</t>
  </si>
  <si>
    <t>User Management</t>
  </si>
  <si>
    <t>IDP Authentication</t>
  </si>
  <si>
    <t>Login Page</t>
  </si>
  <si>
    <t>Partial Registraion</t>
  </si>
  <si>
    <t xml:space="preserve">New Registartion </t>
  </si>
  <si>
    <t>Just a link to the Neo Registration page</t>
  </si>
  <si>
    <t>My Account</t>
  </si>
  <si>
    <t xml:space="preserve">My Account </t>
  </si>
  <si>
    <t>My Completed Courses</t>
  </si>
  <si>
    <t>Learning core logic</t>
  </si>
  <si>
    <t>Database schema implementation</t>
  </si>
  <si>
    <t>GTC Tracking Middleware implementation (course, chapter, quiz)</t>
  </si>
  <si>
    <t>Scroll-based chapter completion component</t>
  </si>
  <si>
    <t xml:space="preserve">Quiz Component </t>
  </si>
  <si>
    <t>Quiz component implementation</t>
  </si>
  <si>
    <t>Question types implementation</t>
  </si>
  <si>
    <t>Quiz progress tracking FE</t>
  </si>
  <si>
    <t xml:space="preserve">Certification Management </t>
  </si>
  <si>
    <t>Certificate Generation Middleware implementation</t>
  </si>
  <si>
    <t>Forms</t>
  </si>
  <si>
    <t>Feedback form</t>
  </si>
  <si>
    <t>Footer Form</t>
  </si>
  <si>
    <t>Search</t>
  </si>
  <si>
    <t>Search Implementation</t>
  </si>
  <si>
    <t>Content Components</t>
  </si>
  <si>
    <t>Slideshow / Text Slider</t>
  </si>
  <si>
    <t>A/B Slider</t>
  </si>
  <si>
    <t>Accordion</t>
  </si>
  <si>
    <t>Image Tabs</t>
  </si>
  <si>
    <t>Hotspots</t>
  </si>
  <si>
    <t>Editorial Text</t>
  </si>
  <si>
    <t xml:space="preserve">Looker Studio integration </t>
  </si>
  <si>
    <t>Forms data integration</t>
  </si>
  <si>
    <t>Learning Data Integration</t>
  </si>
  <si>
    <t>Personalisation</t>
  </si>
  <si>
    <t>Personalization based on the Target Group implementation</t>
  </si>
  <si>
    <t>Content editor roles and permissions</t>
  </si>
  <si>
    <t>Set up the roles and permissions</t>
  </si>
  <si>
    <t>User Tracking Migration</t>
  </si>
  <si>
    <t>Learning Data Migration</t>
  </si>
  <si>
    <t>Content Migration</t>
  </si>
  <si>
    <t>Content Migration Automation</t>
  </si>
  <si>
    <t>Content Migration per se</t>
  </si>
  <si>
    <t>Total complexity:</t>
  </si>
  <si>
    <t>Enablement</t>
  </si>
  <si>
    <t>R1</t>
  </si>
  <si>
    <t>R2</t>
  </si>
  <si>
    <t>Carolina</t>
  </si>
  <si>
    <t>Nanda</t>
  </si>
  <si>
    <t>Actum</t>
  </si>
  <si>
    <t>Account Details</t>
  </si>
  <si>
    <t>Accessibility</t>
  </si>
  <si>
    <t>Account Management</t>
  </si>
  <si>
    <t>Account management</t>
  </si>
  <si>
    <t>Anonymous Project List</t>
  </si>
  <si>
    <t>Availability</t>
  </si>
  <si>
    <t>Cart</t>
  </si>
  <si>
    <t>Configurator</t>
  </si>
  <si>
    <t>Component Integrations</t>
  </si>
  <si>
    <t>Cross&amp;Upsell</t>
  </si>
  <si>
    <t>De-/Installation videos</t>
  </si>
  <si>
    <t>Grohe support</t>
  </si>
  <si>
    <t>Content Blocks</t>
  </si>
  <si>
    <t>Help/Match/Alternative</t>
  </si>
  <si>
    <t>Locator</t>
  </si>
  <si>
    <t>Content Headers</t>
  </si>
  <si>
    <t>Newsfeed</t>
  </si>
  <si>
    <t>Content Operations</t>
  </si>
  <si>
    <t>Notepad</t>
  </si>
  <si>
    <t>Dashboard</t>
  </si>
  <si>
    <t>PDP</t>
  </si>
  <si>
    <t>Events, Trainings &amp; Certs (B2B)</t>
  </si>
  <si>
    <t>PLP</t>
  </si>
  <si>
    <t>Find a Dealer</t>
  </si>
  <si>
    <t>Comparison</t>
  </si>
  <si>
    <t>Homepage</t>
  </si>
  <si>
    <t>Smart Forms</t>
  </si>
  <si>
    <t>Navigation</t>
  </si>
  <si>
    <t>SpareParts</t>
  </si>
  <si>
    <t>Order History (B2B)</t>
  </si>
  <si>
    <t>Sutainability</t>
  </si>
  <si>
    <t>Order History (B2C)</t>
  </si>
  <si>
    <t>Technical SEO</t>
  </si>
  <si>
    <t>Order Summary</t>
  </si>
  <si>
    <t>Training+Certifications</t>
  </si>
  <si>
    <t>Page Routes</t>
  </si>
  <si>
    <t>UserAuth</t>
  </si>
  <si>
    <t>Warranty</t>
  </si>
  <si>
    <t>Page Templates</t>
  </si>
  <si>
    <t>Captcha</t>
  </si>
  <si>
    <t>Payment and Billing Address</t>
  </si>
  <si>
    <t>Coockies</t>
  </si>
  <si>
    <t>Payment Integrations</t>
  </si>
  <si>
    <t>Chatbot</t>
  </si>
  <si>
    <t>Product Comparison</t>
  </si>
  <si>
    <t>IDP</t>
  </si>
  <si>
    <t>Product Detail</t>
  </si>
  <si>
    <t>SSO</t>
  </si>
  <si>
    <t>Product Listing</t>
  </si>
  <si>
    <t>Newsletter</t>
  </si>
  <si>
    <t>Project List - Products</t>
  </si>
  <si>
    <t>Phrase</t>
  </si>
  <si>
    <t>Project List Detail</t>
  </si>
  <si>
    <t>PIM/DAM</t>
  </si>
  <si>
    <t>Project List Detail - Sections</t>
  </si>
  <si>
    <t>Planning</t>
  </si>
  <si>
    <t>Project Lists</t>
  </si>
  <si>
    <t>product registration tool</t>
  </si>
  <si>
    <t>Provide Feedback</t>
  </si>
  <si>
    <t>Services</t>
  </si>
  <si>
    <t>Referral Program</t>
  </si>
  <si>
    <t>Tracking</t>
  </si>
  <si>
    <t>Register Your Product</t>
  </si>
  <si>
    <t>youtube</t>
  </si>
  <si>
    <t>Request Samples</t>
  </si>
  <si>
    <t>Saved Comparison Sets</t>
  </si>
  <si>
    <t>Saved Configurator Projects</t>
  </si>
  <si>
    <t>SEO</t>
  </si>
  <si>
    <t>Shipping Address</t>
  </si>
  <si>
    <t>enablement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</si>
</sst>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charset val="238"/>
      <scheme val="minor"/>
    </font>
    <font>
      <b/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charset val="238"/>
      <scheme val="minor"/>
    </font>
    <font>
      <sz val="14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rgb="FF000000"/>
      <name val="Aptos Narrow"/>
    </font>
    <font>
      <b/>
      <sz val="11"/>
      <color theme="0"/>
      <name val="Aptos Narrow"/>
      <scheme val="minor"/>
    </font>
    <font>
      <b/>
      <sz val="11"/>
      <color rgb="FF00000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3" fillId="0" borderId="0" xfId="1"/>
    <xf numFmtId="0" fontId="4" fillId="0" borderId="1" xfId="0" applyFont="1" applyBorder="1"/>
    <xf numFmtId="0" fontId="4" fillId="0" borderId="1" xfId="0" applyFont="1" applyBorder="1" applyAlignment="1">
      <alignment horizontal="right"/>
    </xf>
    <xf numFmtId="0" fontId="2" fillId="0" borderId="0" xfId="0" applyFont="1"/>
    <xf numFmtId="0" fontId="1" fillId="0" borderId="1" xfId="0" applyFont="1" applyBorder="1" applyAlignment="1">
      <alignment horizontal="right"/>
    </xf>
    <xf numFmtId="0" fontId="6" fillId="0" borderId="0" xfId="0" applyFont="1"/>
    <xf numFmtId="0" fontId="7" fillId="2" borderId="0" xfId="0" applyFont="1" applyFill="1"/>
    <xf numFmtId="0" fontId="5" fillId="0" borderId="0" xfId="0" applyFont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38100</xdr:colOff>
      <xdr:row>1</xdr:row>
      <xdr:rowOff>0</xdr:rowOff>
    </xdr:from>
    <xdr:to>
      <xdr:col>15</xdr:col>
      <xdr:colOff>723900</xdr:colOff>
      <xdr:row>33</xdr:row>
      <xdr:rowOff>127503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06D0643-1D9A-B5B4-12BF-578741706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11900" y="190500"/>
          <a:ext cx="7289800" cy="6273800"/>
        </a:xfrm>
        <a:prstGeom prst="rect">
          <a:avLst/>
        </a:prstGeom>
      </xdr:spPr>
    </xdr:pic>
    <xdr:clientData/>
  </xdr:twoCellAnchor>
  <xdr:twoCellAnchor editAs="oneCell">
    <xdr:from>
      <xdr:col>16</xdr:col>
      <xdr:colOff>152400</xdr:colOff>
      <xdr:row>6</xdr:row>
      <xdr:rowOff>88900</xdr:rowOff>
    </xdr:from>
    <xdr:to>
      <xdr:col>25</xdr:col>
      <xdr:colOff>495300</xdr:colOff>
      <xdr:row>18</xdr:row>
      <xdr:rowOff>157346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C469C4C-6232-B9F5-9C08-5D97F98050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855700" y="1231900"/>
          <a:ext cx="7772400" cy="2354446"/>
        </a:xfrm>
        <a:prstGeom prst="rect">
          <a:avLst/>
        </a:prstGeom>
      </xdr:spPr>
    </xdr:pic>
    <xdr:clientData/>
  </xdr:twoCellAnchor>
  <xdr:twoCellAnchor editAs="oneCell">
    <xdr:from>
      <xdr:col>15</xdr:col>
      <xdr:colOff>384899</xdr:colOff>
      <xdr:row>27</xdr:row>
      <xdr:rowOff>100846</xdr:rowOff>
    </xdr:from>
    <xdr:to>
      <xdr:col>24</xdr:col>
      <xdr:colOff>732200</xdr:colOff>
      <xdr:row>39</xdr:row>
      <xdr:rowOff>169291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B975499-F9BE-1146-9CA8-CD0D4CE263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323810" y="5193420"/>
          <a:ext cx="7816410" cy="2331812"/>
        </a:xfrm>
        <a:prstGeom prst="rect">
          <a:avLst/>
        </a:prstGeom>
      </xdr:spPr>
    </xdr:pic>
    <xdr:clientData/>
  </xdr:twoCellAnchor>
  <xdr:twoCellAnchor editAs="oneCell">
    <xdr:from>
      <xdr:col>8</xdr:col>
      <xdr:colOff>156423</xdr:colOff>
      <xdr:row>29</xdr:row>
      <xdr:rowOff>38728</xdr:rowOff>
    </xdr:from>
    <xdr:to>
      <xdr:col>18</xdr:col>
      <xdr:colOff>729306</xdr:colOff>
      <xdr:row>72</xdr:row>
      <xdr:rowOff>106558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5A8CEE02-2730-B2FA-005A-9F193E0CB5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286027" y="5508530"/>
          <a:ext cx="8871893" cy="81782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igma.com/design/CQXASwWQSluO48GXrogU7V/Grohe-NEO---Discovery-phase-UX%2FUI?node-id=994-123387&amp;t=AioBBw7okOXd6GIq-4" TargetMode="External"/><Relationship Id="rId2" Type="http://schemas.openxmlformats.org/officeDocument/2006/relationships/hyperlink" Target="https://www.figma.com/design/CQXASwWQSluO48GXrogU7V/Grohe-NEO---Discovery-phase-UX%2FUI?node-id=994-17499&amp;t=AioBBw7okOXd6GIq-4" TargetMode="External"/><Relationship Id="rId1" Type="http://schemas.openxmlformats.org/officeDocument/2006/relationships/hyperlink" Target="https://www.figma.com/design/CQXASwWQSluO48GXrogU7V/Grohe-NEO---Discovery-phase-UX%2FUI?node-id=994-121776&amp;t=6LrAeC7ubRM4ukd0-4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www.figma.com/design/CQXASwWQSluO48GXrogU7V/Grohe-NEO---Discovery-phase-UX%2FUI?node-id=1567-35245&amp;t=z0rebPyjMrqJvq3J-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8892B-BDA9-4930-91B2-87078C9B3972}">
  <sheetPr>
    <tabColor rgb="FF92D050"/>
  </sheetPr>
  <dimension ref="A1:I109"/>
  <sheetViews>
    <sheetView tabSelected="1" workbookViewId="0">
      <pane ySplit="1" topLeftCell="A2" activePane="bottomLeft" state="frozen"/>
      <selection pane="bottomLeft" activeCell="B91" sqref="B91"/>
    </sheetView>
  </sheetViews>
  <sheetFormatPr defaultColWidth="8.85546875" defaultRowHeight="15"/>
  <cols>
    <col min="1" max="1" width="35.7109375" bestFit="1" customWidth="1"/>
    <col min="2" max="2" width="56.42578125" bestFit="1" customWidth="1"/>
    <col min="3" max="3" width="18.140625" customWidth="1"/>
    <col min="4" max="4" width="20.28515625" bestFit="1" customWidth="1"/>
    <col min="5" max="5" width="20.42578125" bestFit="1" customWidth="1"/>
    <col min="6" max="6" width="14.42578125" bestFit="1" customWidth="1"/>
    <col min="7" max="7" width="13.42578125" style="6" customWidth="1"/>
    <col min="8" max="8" width="5.28515625" customWidth="1"/>
    <col min="9" max="9" width="88.28515625" bestFit="1" customWidth="1"/>
  </cols>
  <sheetData>
    <row r="1" spans="1:9" ht="18.7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/>
      <c r="I1" s="1" t="s">
        <v>7</v>
      </c>
    </row>
    <row r="2" spans="1:9">
      <c r="A2" s="10" t="s">
        <v>8</v>
      </c>
    </row>
    <row r="3" spans="1:9">
      <c r="B3" t="s">
        <v>9</v>
      </c>
      <c r="G3" s="6">
        <f>MAX(E3:F3)</f>
        <v>0</v>
      </c>
    </row>
    <row r="4" spans="1:9">
      <c r="B4" t="s">
        <v>10</v>
      </c>
      <c r="G4" s="6">
        <f>MAX(E4:F4)</f>
        <v>0</v>
      </c>
    </row>
    <row r="5" spans="1:9">
      <c r="B5" t="s">
        <v>11</v>
      </c>
      <c r="G5" s="6">
        <f t="shared" ref="G5:G67" si="0">MAX(E5:F5)</f>
        <v>0</v>
      </c>
    </row>
    <row r="6" spans="1:9">
      <c r="B6" t="s">
        <v>12</v>
      </c>
      <c r="G6" s="6">
        <f t="shared" si="0"/>
        <v>0</v>
      </c>
    </row>
    <row r="7" spans="1:9">
      <c r="B7" t="s">
        <v>13</v>
      </c>
      <c r="G7" s="6">
        <f t="shared" si="0"/>
        <v>0</v>
      </c>
    </row>
    <row r="8" spans="1:9">
      <c r="B8" t="s">
        <v>14</v>
      </c>
      <c r="G8" s="6">
        <f t="shared" si="0"/>
        <v>0</v>
      </c>
    </row>
    <row r="9" spans="1:9">
      <c r="B9" t="s">
        <v>15</v>
      </c>
      <c r="G9" s="6">
        <f t="shared" si="0"/>
        <v>0</v>
      </c>
    </row>
    <row r="10" spans="1:9">
      <c r="B10" t="s">
        <v>16</v>
      </c>
    </row>
    <row r="11" spans="1:9">
      <c r="A11" s="10" t="s">
        <v>17</v>
      </c>
      <c r="G11" s="6">
        <f t="shared" si="0"/>
        <v>0</v>
      </c>
    </row>
    <row r="12" spans="1:9">
      <c r="B12" t="s">
        <v>18</v>
      </c>
      <c r="G12" s="6">
        <f t="shared" si="0"/>
        <v>0</v>
      </c>
    </row>
    <row r="13" spans="1:9">
      <c r="B13" t="s">
        <v>19</v>
      </c>
      <c r="G13" s="6">
        <f t="shared" si="0"/>
        <v>0</v>
      </c>
    </row>
    <row r="14" spans="1:9">
      <c r="B14" t="s">
        <v>20</v>
      </c>
      <c r="G14" s="6">
        <f t="shared" si="0"/>
        <v>0</v>
      </c>
    </row>
    <row r="15" spans="1:9">
      <c r="B15" t="s">
        <v>21</v>
      </c>
      <c r="G15" s="6">
        <f t="shared" si="0"/>
        <v>0</v>
      </c>
    </row>
    <row r="16" spans="1:9">
      <c r="B16" t="s">
        <v>22</v>
      </c>
      <c r="G16" s="6">
        <f t="shared" si="0"/>
        <v>0</v>
      </c>
    </row>
    <row r="17" spans="1:9">
      <c r="B17" t="s">
        <v>23</v>
      </c>
      <c r="G17" s="6">
        <f t="shared" si="0"/>
        <v>0</v>
      </c>
      <c r="I17" t="s">
        <v>24</v>
      </c>
    </row>
    <row r="18" spans="1:9">
      <c r="G18" s="6">
        <f t="shared" si="0"/>
        <v>0</v>
      </c>
    </row>
    <row r="19" spans="1:9">
      <c r="A19" s="10" t="s">
        <v>25</v>
      </c>
      <c r="G19" s="6">
        <f t="shared" si="0"/>
        <v>0</v>
      </c>
    </row>
    <row r="20" spans="1:9">
      <c r="B20" t="s">
        <v>26</v>
      </c>
      <c r="G20" s="6">
        <f t="shared" si="0"/>
        <v>0</v>
      </c>
    </row>
    <row r="21" spans="1:9">
      <c r="B21" t="s">
        <v>27</v>
      </c>
      <c r="G21" s="6">
        <f t="shared" si="0"/>
        <v>0</v>
      </c>
    </row>
    <row r="22" spans="1:9">
      <c r="B22" t="s">
        <v>28</v>
      </c>
      <c r="G22" s="6">
        <f t="shared" si="0"/>
        <v>0</v>
      </c>
    </row>
    <row r="23" spans="1:9">
      <c r="A23" s="10" t="s">
        <v>29</v>
      </c>
      <c r="G23" s="6">
        <f t="shared" si="0"/>
        <v>0</v>
      </c>
    </row>
    <row r="24" spans="1:9">
      <c r="B24" t="s">
        <v>30</v>
      </c>
      <c r="G24" s="6">
        <f t="shared" si="0"/>
        <v>0</v>
      </c>
    </row>
    <row r="25" spans="1:9">
      <c r="A25" s="10" t="s">
        <v>31</v>
      </c>
      <c r="G25" s="6">
        <f t="shared" si="0"/>
        <v>0</v>
      </c>
    </row>
    <row r="26" spans="1:9">
      <c r="B26" t="s">
        <v>32</v>
      </c>
      <c r="G26" s="6">
        <f t="shared" si="0"/>
        <v>0</v>
      </c>
    </row>
    <row r="27" spans="1:9">
      <c r="A27" s="11" t="s">
        <v>33</v>
      </c>
      <c r="G27" s="6">
        <f t="shared" si="0"/>
        <v>0</v>
      </c>
    </row>
    <row r="28" spans="1:9">
      <c r="B28" t="s">
        <v>34</v>
      </c>
      <c r="G28" s="6">
        <f t="shared" si="0"/>
        <v>0</v>
      </c>
    </row>
    <row r="29" spans="1:9">
      <c r="A29" s="10" t="s">
        <v>35</v>
      </c>
      <c r="G29" s="6">
        <f t="shared" si="0"/>
        <v>0</v>
      </c>
    </row>
    <row r="30" spans="1:9">
      <c r="B30" t="s">
        <v>36</v>
      </c>
      <c r="G30" s="6">
        <f t="shared" si="0"/>
        <v>0</v>
      </c>
    </row>
    <row r="31" spans="1:9">
      <c r="G31" s="6">
        <f t="shared" si="0"/>
        <v>0</v>
      </c>
    </row>
    <row r="32" spans="1:9">
      <c r="G32" s="6">
        <f t="shared" si="0"/>
        <v>0</v>
      </c>
    </row>
    <row r="33" spans="1:9">
      <c r="A33" s="10" t="s">
        <v>37</v>
      </c>
      <c r="G33" s="6">
        <f t="shared" si="0"/>
        <v>0</v>
      </c>
    </row>
    <row r="34" spans="1:9">
      <c r="B34" t="s">
        <v>38</v>
      </c>
      <c r="G34" s="6">
        <f t="shared" si="0"/>
        <v>0</v>
      </c>
    </row>
    <row r="35" spans="1:9">
      <c r="B35" t="s">
        <v>39</v>
      </c>
      <c r="G35" s="6">
        <f t="shared" si="0"/>
        <v>0</v>
      </c>
    </row>
    <row r="36" spans="1:9">
      <c r="B36" t="s">
        <v>40</v>
      </c>
      <c r="G36" s="6">
        <f t="shared" si="0"/>
        <v>0</v>
      </c>
    </row>
    <row r="37" spans="1:9">
      <c r="B37" t="s">
        <v>41</v>
      </c>
      <c r="G37" s="6">
        <f t="shared" si="0"/>
        <v>0</v>
      </c>
      <c r="I37" t="s">
        <v>42</v>
      </c>
    </row>
    <row r="38" spans="1:9">
      <c r="A38" s="10" t="s">
        <v>43</v>
      </c>
      <c r="G38" s="6">
        <f t="shared" si="0"/>
        <v>0</v>
      </c>
    </row>
    <row r="39" spans="1:9">
      <c r="B39" t="s">
        <v>44</v>
      </c>
      <c r="G39" s="6">
        <f t="shared" si="0"/>
        <v>0</v>
      </c>
    </row>
    <row r="40" spans="1:9">
      <c r="B40" t="s">
        <v>45</v>
      </c>
      <c r="G40" s="6">
        <f t="shared" si="0"/>
        <v>0</v>
      </c>
    </row>
    <row r="41" spans="1:9">
      <c r="A41" s="10" t="s">
        <v>46</v>
      </c>
      <c r="G41" s="6">
        <f t="shared" si="0"/>
        <v>0</v>
      </c>
    </row>
    <row r="42" spans="1:9">
      <c r="B42" t="s">
        <v>47</v>
      </c>
      <c r="G42" s="6">
        <f t="shared" si="0"/>
        <v>0</v>
      </c>
    </row>
    <row r="43" spans="1:9">
      <c r="B43" t="s">
        <v>48</v>
      </c>
      <c r="G43" s="6">
        <f t="shared" si="0"/>
        <v>0</v>
      </c>
    </row>
    <row r="44" spans="1:9">
      <c r="B44" t="s">
        <v>49</v>
      </c>
      <c r="G44" s="6">
        <f t="shared" si="0"/>
        <v>0</v>
      </c>
    </row>
    <row r="45" spans="1:9">
      <c r="G45" s="6">
        <f t="shared" si="0"/>
        <v>0</v>
      </c>
    </row>
    <row r="46" spans="1:9">
      <c r="G46" s="6">
        <f t="shared" si="0"/>
        <v>0</v>
      </c>
    </row>
    <row r="47" spans="1:9">
      <c r="G47" s="6">
        <f t="shared" si="0"/>
        <v>0</v>
      </c>
    </row>
    <row r="48" spans="1:9">
      <c r="G48" s="6">
        <f t="shared" si="0"/>
        <v>0</v>
      </c>
    </row>
    <row r="49" spans="1:9">
      <c r="A49" s="10" t="s">
        <v>50</v>
      </c>
      <c r="G49" s="6">
        <f t="shared" si="0"/>
        <v>0</v>
      </c>
    </row>
    <row r="50" spans="1:9">
      <c r="B50" t="s">
        <v>51</v>
      </c>
      <c r="G50" s="6">
        <f t="shared" si="0"/>
        <v>0</v>
      </c>
    </row>
    <row r="51" spans="1:9">
      <c r="B51" t="s">
        <v>52</v>
      </c>
      <c r="G51" s="6">
        <f t="shared" si="0"/>
        <v>0</v>
      </c>
    </row>
    <row r="52" spans="1:9">
      <c r="B52" t="s">
        <v>53</v>
      </c>
      <c r="G52" s="6">
        <f t="shared" si="0"/>
        <v>0</v>
      </c>
    </row>
    <row r="53" spans="1:9">
      <c r="G53" s="6">
        <f t="shared" si="0"/>
        <v>0</v>
      </c>
    </row>
    <row r="54" spans="1:9">
      <c r="G54" s="6">
        <f t="shared" si="0"/>
        <v>0</v>
      </c>
    </row>
    <row r="55" spans="1:9">
      <c r="G55" s="6">
        <f t="shared" si="0"/>
        <v>0</v>
      </c>
    </row>
    <row r="56" spans="1:9">
      <c r="G56" s="6">
        <f t="shared" si="0"/>
        <v>0</v>
      </c>
    </row>
    <row r="57" spans="1:9">
      <c r="A57" s="11" t="s">
        <v>54</v>
      </c>
      <c r="B57" t="s">
        <v>55</v>
      </c>
      <c r="G57" s="6">
        <f t="shared" si="0"/>
        <v>0</v>
      </c>
    </row>
    <row r="58" spans="1:9">
      <c r="G58" s="6">
        <f t="shared" si="0"/>
        <v>0</v>
      </c>
      <c r="I58" s="8"/>
    </row>
    <row r="59" spans="1:9">
      <c r="A59" s="10" t="s">
        <v>56</v>
      </c>
      <c r="G59" s="6">
        <f t="shared" si="0"/>
        <v>0</v>
      </c>
    </row>
    <row r="60" spans="1:9">
      <c r="B60" t="s">
        <v>57</v>
      </c>
      <c r="G60" s="6">
        <f t="shared" si="0"/>
        <v>0</v>
      </c>
    </row>
    <row r="61" spans="1:9">
      <c r="B61" t="s">
        <v>58</v>
      </c>
      <c r="G61" s="6">
        <f t="shared" si="0"/>
        <v>0</v>
      </c>
    </row>
    <row r="62" spans="1:9">
      <c r="G62" s="6">
        <f t="shared" si="0"/>
        <v>0</v>
      </c>
    </row>
    <row r="63" spans="1:9">
      <c r="A63" s="10" t="s">
        <v>59</v>
      </c>
      <c r="G63" s="6">
        <f t="shared" si="0"/>
        <v>0</v>
      </c>
    </row>
    <row r="64" spans="1:9">
      <c r="B64" t="s">
        <v>60</v>
      </c>
      <c r="G64" s="6">
        <f t="shared" si="0"/>
        <v>0</v>
      </c>
    </row>
    <row r="65" spans="1:7">
      <c r="G65" s="6">
        <f t="shared" si="0"/>
        <v>0</v>
      </c>
    </row>
    <row r="66" spans="1:7">
      <c r="A66" s="10" t="s">
        <v>61</v>
      </c>
      <c r="G66" s="6">
        <f t="shared" si="0"/>
        <v>0</v>
      </c>
    </row>
    <row r="67" spans="1:7">
      <c r="B67" t="s">
        <v>62</v>
      </c>
      <c r="G67" s="6">
        <f t="shared" si="0"/>
        <v>0</v>
      </c>
    </row>
    <row r="68" spans="1:7">
      <c r="B68" t="s">
        <v>63</v>
      </c>
      <c r="G68" s="6">
        <f t="shared" ref="G68:G102" si="1">MAX(E68:F68)</f>
        <v>0</v>
      </c>
    </row>
    <row r="69" spans="1:7">
      <c r="B69" t="s">
        <v>64</v>
      </c>
      <c r="G69" s="6">
        <f t="shared" si="1"/>
        <v>0</v>
      </c>
    </row>
    <row r="70" spans="1:7">
      <c r="B70" t="s">
        <v>65</v>
      </c>
      <c r="G70" s="6">
        <f t="shared" si="1"/>
        <v>0</v>
      </c>
    </row>
    <row r="71" spans="1:7">
      <c r="B71" t="s">
        <v>66</v>
      </c>
      <c r="G71" s="6">
        <f t="shared" si="1"/>
        <v>0</v>
      </c>
    </row>
    <row r="72" spans="1:7">
      <c r="B72" t="s">
        <v>67</v>
      </c>
      <c r="G72" s="6">
        <f t="shared" si="1"/>
        <v>0</v>
      </c>
    </row>
    <row r="73" spans="1:7">
      <c r="G73" s="6">
        <f t="shared" si="1"/>
        <v>0</v>
      </c>
    </row>
    <row r="74" spans="1:7">
      <c r="A74" s="10" t="s">
        <v>68</v>
      </c>
      <c r="G74" s="6">
        <f t="shared" si="1"/>
        <v>0</v>
      </c>
    </row>
    <row r="75" spans="1:7">
      <c r="B75" t="s">
        <v>69</v>
      </c>
      <c r="G75" s="6">
        <f t="shared" si="1"/>
        <v>0</v>
      </c>
    </row>
    <row r="76" spans="1:7">
      <c r="B76" t="s">
        <v>70</v>
      </c>
      <c r="G76" s="6">
        <f t="shared" si="1"/>
        <v>0</v>
      </c>
    </row>
    <row r="77" spans="1:7">
      <c r="G77" s="6">
        <f t="shared" si="1"/>
        <v>0</v>
      </c>
    </row>
    <row r="78" spans="1:7">
      <c r="G78" s="6">
        <f t="shared" si="1"/>
        <v>0</v>
      </c>
    </row>
    <row r="79" spans="1:7">
      <c r="A79" s="10" t="s">
        <v>71</v>
      </c>
      <c r="G79" s="6">
        <f t="shared" si="1"/>
        <v>0</v>
      </c>
    </row>
    <row r="80" spans="1:7">
      <c r="B80" t="s">
        <v>72</v>
      </c>
      <c r="G80" s="6">
        <f t="shared" si="1"/>
        <v>0</v>
      </c>
    </row>
    <row r="81" spans="1:7">
      <c r="G81" s="6">
        <f t="shared" si="1"/>
        <v>0</v>
      </c>
    </row>
    <row r="82" spans="1:7">
      <c r="G82" s="6">
        <f t="shared" si="1"/>
        <v>0</v>
      </c>
    </row>
    <row r="83" spans="1:7">
      <c r="A83" s="10" t="s">
        <v>73</v>
      </c>
      <c r="G83" s="6">
        <f t="shared" si="1"/>
        <v>0</v>
      </c>
    </row>
    <row r="84" spans="1:7">
      <c r="B84" t="s">
        <v>74</v>
      </c>
      <c r="G84" s="6">
        <f t="shared" si="1"/>
        <v>0</v>
      </c>
    </row>
    <row r="85" spans="1:7">
      <c r="A85" s="10" t="s">
        <v>75</v>
      </c>
      <c r="G85" s="6">
        <f t="shared" si="1"/>
        <v>0</v>
      </c>
    </row>
    <row r="86" spans="1:7">
      <c r="B86" t="s">
        <v>76</v>
      </c>
      <c r="G86" s="6">
        <f t="shared" si="1"/>
        <v>0</v>
      </c>
    </row>
    <row r="87" spans="1:7">
      <c r="G87" s="6">
        <f t="shared" si="1"/>
        <v>0</v>
      </c>
    </row>
    <row r="88" spans="1:7">
      <c r="A88" s="10" t="s">
        <v>77</v>
      </c>
      <c r="G88" s="6">
        <f t="shared" si="1"/>
        <v>0</v>
      </c>
    </row>
    <row r="89" spans="1:7">
      <c r="B89" t="s">
        <v>78</v>
      </c>
      <c r="G89" s="6">
        <f t="shared" si="1"/>
        <v>0</v>
      </c>
    </row>
    <row r="90" spans="1:7">
      <c r="B90" t="s">
        <v>79</v>
      </c>
      <c r="G90" s="6">
        <f t="shared" si="1"/>
        <v>0</v>
      </c>
    </row>
    <row r="91" spans="1:7">
      <c r="G91" s="6">
        <f t="shared" si="1"/>
        <v>0</v>
      </c>
    </row>
    <row r="92" spans="1:7">
      <c r="G92" s="6">
        <f t="shared" si="1"/>
        <v>0</v>
      </c>
    </row>
    <row r="93" spans="1:7">
      <c r="G93" s="6">
        <f t="shared" si="1"/>
        <v>0</v>
      </c>
    </row>
    <row r="94" spans="1:7">
      <c r="G94" s="6">
        <f t="shared" si="1"/>
        <v>0</v>
      </c>
    </row>
    <row r="95" spans="1:7">
      <c r="G95" s="6">
        <f t="shared" si="1"/>
        <v>0</v>
      </c>
    </row>
    <row r="96" spans="1:7">
      <c r="G96" s="6">
        <f t="shared" si="1"/>
        <v>0</v>
      </c>
    </row>
    <row r="97" spans="4:7">
      <c r="G97" s="6">
        <f t="shared" si="1"/>
        <v>0</v>
      </c>
    </row>
    <row r="98" spans="4:7">
      <c r="G98" s="6">
        <f t="shared" si="1"/>
        <v>0</v>
      </c>
    </row>
    <row r="99" spans="4:7">
      <c r="G99" s="6">
        <f t="shared" si="1"/>
        <v>0</v>
      </c>
    </row>
    <row r="100" spans="4:7">
      <c r="G100" s="6">
        <f t="shared" si="1"/>
        <v>0</v>
      </c>
    </row>
    <row r="101" spans="4:7">
      <c r="G101" s="6">
        <f t="shared" si="1"/>
        <v>0</v>
      </c>
    </row>
    <row r="102" spans="4:7">
      <c r="G102" s="6">
        <f t="shared" si="1"/>
        <v>0</v>
      </c>
    </row>
    <row r="103" spans="4:7" ht="18.75">
      <c r="D103" s="4" t="s">
        <v>80</v>
      </c>
      <c r="E103" s="5">
        <f>SUM(E2:E99)</f>
        <v>0</v>
      </c>
      <c r="F103" s="5">
        <f>SUM(F2:F99)</f>
        <v>0</v>
      </c>
      <c r="G103" s="7">
        <f>SUM(G2:G99)</f>
        <v>0</v>
      </c>
    </row>
    <row r="107" spans="4:7">
      <c r="E107" t="s">
        <v>81</v>
      </c>
      <c r="G107" s="6">
        <f>SUM(G3:G59)</f>
        <v>0</v>
      </c>
    </row>
    <row r="108" spans="4:7">
      <c r="E108" t="s">
        <v>82</v>
      </c>
      <c r="G108" s="6">
        <f>SUM(G62:G88)</f>
        <v>0</v>
      </c>
    </row>
    <row r="109" spans="4:7">
      <c r="E109" t="s">
        <v>83</v>
      </c>
      <c r="G109" s="6">
        <f>SUM(G91:G99)</f>
        <v>0</v>
      </c>
    </row>
  </sheetData>
  <conditionalFormatting sqref="G3:G102">
    <cfRule type="iconSet" priority="20">
      <iconSet>
        <cfvo type="percent" val="0"/>
        <cfvo type="num" val="1"/>
        <cfvo type="num" val="2"/>
      </iconSet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57987-149E-B84B-A3B3-7EDF17D21550}">
  <sheetPr>
    <tabColor rgb="FFFFC000"/>
  </sheetPr>
  <dimension ref="A2:F45"/>
  <sheetViews>
    <sheetView topLeftCell="A5" zoomScale="101" workbookViewId="0">
      <selection activeCell="E30" sqref="E30"/>
    </sheetView>
  </sheetViews>
  <sheetFormatPr defaultColWidth="11.42578125" defaultRowHeight="15"/>
  <cols>
    <col min="1" max="1" width="17.28515625" bestFit="1" customWidth="1"/>
    <col min="5" max="5" width="25.7109375" bestFit="1" customWidth="1"/>
  </cols>
  <sheetData>
    <row r="2" spans="1:5" ht="18.95" customHeight="1">
      <c r="A2" s="9" t="s">
        <v>84</v>
      </c>
      <c r="B2" s="9" t="s">
        <v>85</v>
      </c>
      <c r="C2" s="9" t="s">
        <v>86</v>
      </c>
      <c r="E2" t="s">
        <v>87</v>
      </c>
    </row>
    <row r="3" spans="1:5">
      <c r="A3" t="s">
        <v>88</v>
      </c>
      <c r="E3" t="s">
        <v>89</v>
      </c>
    </row>
    <row r="4" spans="1:5">
      <c r="A4" t="s">
        <v>90</v>
      </c>
      <c r="C4" t="e">
        <f>SUM(#REF!,#REF!,#REF!,#REF!,#REF!,#REF!)</f>
        <v>#REF!</v>
      </c>
      <c r="E4" t="s">
        <v>91</v>
      </c>
    </row>
    <row r="5" spans="1:5">
      <c r="A5" t="s">
        <v>92</v>
      </c>
      <c r="E5" t="s">
        <v>93</v>
      </c>
    </row>
    <row r="6" spans="1:5">
      <c r="A6" t="s">
        <v>94</v>
      </c>
      <c r="E6" t="s">
        <v>95</v>
      </c>
    </row>
    <row r="7" spans="1:5">
      <c r="A7" t="s">
        <v>96</v>
      </c>
      <c r="E7" t="s">
        <v>95</v>
      </c>
    </row>
    <row r="8" spans="1:5">
      <c r="A8" t="s">
        <v>97</v>
      </c>
      <c r="E8" t="s">
        <v>95</v>
      </c>
    </row>
    <row r="9" spans="1:5">
      <c r="A9" t="s">
        <v>98</v>
      </c>
      <c r="E9" t="s">
        <v>99</v>
      </c>
    </row>
    <row r="10" spans="1:5">
      <c r="A10" t="s">
        <v>100</v>
      </c>
      <c r="E10" t="s">
        <v>61</v>
      </c>
    </row>
    <row r="11" spans="1:5">
      <c r="A11" t="s">
        <v>101</v>
      </c>
      <c r="E11" t="s">
        <v>102</v>
      </c>
    </row>
    <row r="12" spans="1:5">
      <c r="A12" t="s">
        <v>103</v>
      </c>
      <c r="E12" t="s">
        <v>104</v>
      </c>
    </row>
    <row r="13" spans="1:5">
      <c r="A13" t="s">
        <v>105</v>
      </c>
      <c r="E13" t="s">
        <v>106</v>
      </c>
    </row>
    <row r="14" spans="1:5" ht="15" customHeight="1">
      <c r="A14" t="s">
        <v>107</v>
      </c>
      <c r="E14" t="s">
        <v>108</v>
      </c>
    </row>
    <row r="15" spans="1:5">
      <c r="A15" t="s">
        <v>109</v>
      </c>
      <c r="E15" t="s">
        <v>110</v>
      </c>
    </row>
    <row r="16" spans="1:5">
      <c r="A16" t="s">
        <v>111</v>
      </c>
      <c r="E16" t="s">
        <v>56</v>
      </c>
    </row>
    <row r="17" spans="1:5">
      <c r="A17" t="s">
        <v>59</v>
      </c>
      <c r="E17" s="3" t="s">
        <v>112</v>
      </c>
    </row>
    <row r="18" spans="1:5">
      <c r="A18" t="s">
        <v>113</v>
      </c>
      <c r="E18" t="s">
        <v>114</v>
      </c>
    </row>
    <row r="19" spans="1:5">
      <c r="A19" t="s">
        <v>115</v>
      </c>
      <c r="E19" t="s">
        <v>116</v>
      </c>
    </row>
    <row r="20" spans="1:5">
      <c r="A20" t="s">
        <v>117</v>
      </c>
      <c r="E20" t="s">
        <v>118</v>
      </c>
    </row>
    <row r="21" spans="1:5">
      <c r="A21" t="s">
        <v>119</v>
      </c>
      <c r="E21" t="s">
        <v>120</v>
      </c>
    </row>
    <row r="22" spans="1:5">
      <c r="A22" t="s">
        <v>121</v>
      </c>
      <c r="E22" t="s">
        <v>122</v>
      </c>
    </row>
    <row r="23" spans="1:5">
      <c r="A23" t="s">
        <v>123</v>
      </c>
      <c r="E23" t="s">
        <v>122</v>
      </c>
    </row>
    <row r="24" spans="1:5">
      <c r="A24" t="s">
        <v>124</v>
      </c>
      <c r="E24" t="s">
        <v>125</v>
      </c>
    </row>
    <row r="25" spans="1:5">
      <c r="A25" t="s">
        <v>126</v>
      </c>
      <c r="E25" t="s">
        <v>127</v>
      </c>
    </row>
    <row r="26" spans="1:5">
      <c r="A26" t="s">
        <v>128</v>
      </c>
      <c r="E26" t="s">
        <v>129</v>
      </c>
    </row>
    <row r="27" spans="1:5">
      <c r="A27" t="s">
        <v>130</v>
      </c>
      <c r="E27" t="s">
        <v>131</v>
      </c>
    </row>
    <row r="28" spans="1:5">
      <c r="A28" t="s">
        <v>132</v>
      </c>
      <c r="E28" s="3" t="s">
        <v>133</v>
      </c>
    </row>
    <row r="29" spans="1:5">
      <c r="A29" t="s">
        <v>134</v>
      </c>
      <c r="E29" s="3" t="s">
        <v>135</v>
      </c>
    </row>
    <row r="30" spans="1:5">
      <c r="A30" t="s">
        <v>136</v>
      </c>
      <c r="E30" t="s">
        <v>137</v>
      </c>
    </row>
    <row r="31" spans="1:5">
      <c r="A31" t="s">
        <v>138</v>
      </c>
      <c r="E31" t="s">
        <v>139</v>
      </c>
    </row>
    <row r="32" spans="1:5">
      <c r="A32" t="s">
        <v>140</v>
      </c>
      <c r="E32" t="s">
        <v>141</v>
      </c>
    </row>
    <row r="33" spans="1:6">
      <c r="A33" t="s">
        <v>142</v>
      </c>
      <c r="E33" t="s">
        <v>143</v>
      </c>
    </row>
    <row r="34" spans="1:6">
      <c r="A34" t="s">
        <v>144</v>
      </c>
      <c r="E34" t="s">
        <v>145</v>
      </c>
    </row>
    <row r="35" spans="1:6">
      <c r="A35" t="s">
        <v>146</v>
      </c>
      <c r="E35" t="s">
        <v>147</v>
      </c>
    </row>
    <row r="36" spans="1:6">
      <c r="A36" t="s">
        <v>148</v>
      </c>
      <c r="E36" t="s">
        <v>149</v>
      </c>
    </row>
    <row r="37" spans="1:6">
      <c r="A37" t="s">
        <v>150</v>
      </c>
      <c r="E37" t="s">
        <v>151</v>
      </c>
    </row>
    <row r="38" spans="1:6">
      <c r="E38" t="s">
        <v>152</v>
      </c>
    </row>
    <row r="39" spans="1:6">
      <c r="E39" t="s">
        <v>153</v>
      </c>
    </row>
    <row r="40" spans="1:6">
      <c r="E40" s="3" t="s">
        <v>59</v>
      </c>
    </row>
    <row r="41" spans="1:6">
      <c r="E41" t="s">
        <v>154</v>
      </c>
    </row>
    <row r="42" spans="1:6">
      <c r="E42" t="s">
        <v>155</v>
      </c>
    </row>
    <row r="43" spans="1:6" ht="15" customHeight="1">
      <c r="B43" t="s">
        <v>156</v>
      </c>
      <c r="E43" s="1"/>
    </row>
    <row r="44" spans="1:6">
      <c r="B44" t="s">
        <v>82</v>
      </c>
      <c r="C44" t="e">
        <f>#REF!+#REF!</f>
        <v>#REF!</v>
      </c>
      <c r="F44">
        <f>E44/52*12</f>
        <v>0</v>
      </c>
    </row>
    <row r="45" spans="1:6">
      <c r="B45" t="s">
        <v>83</v>
      </c>
      <c r="C45" t="e">
        <f>#REF!+#REF!</f>
        <v>#REF!</v>
      </c>
      <c r="F45">
        <f>E45/52*12</f>
        <v>0</v>
      </c>
    </row>
  </sheetData>
  <sortState xmlns:xlrd2="http://schemas.microsoft.com/office/spreadsheetml/2017/richdata2" ref="E2:E45">
    <sortCondition ref="E1:E45"/>
  </sortState>
  <hyperlinks>
    <hyperlink ref="E29" r:id="rId1" xr:uid="{6B74F789-4852-594B-AFC2-1EDD4FD1A4C2}"/>
    <hyperlink ref="E28" r:id="rId2" xr:uid="{6DACB181-E27E-374C-8ED3-E7E1134A8A52}"/>
    <hyperlink ref="E40" r:id="rId3" xr:uid="{C1D67E94-D1DD-1142-87D2-E220D649032D}"/>
    <hyperlink ref="E17" r:id="rId4" xr:uid="{7CE98C21-7FE6-D04A-B58E-0EBE413113DE}"/>
  </hyperlinks>
  <pageMargins left="0.7" right="0.7" top="0.75" bottom="0.75" header="0.3" footer="0.3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62B15-5CBE-324E-9B59-BF39CBF8FD79}">
  <dimension ref="A1"/>
  <sheetViews>
    <sheetView workbookViewId="0"/>
  </sheetViews>
  <sheetFormatPr defaultColWidth="8.85546875"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278e382-40cc-4461-b2fd-63b15cfb7047" xsi:nil="true"/>
    <lcf76f155ced4ddcb4097134ff3c332f xmlns="37bc87a4-8456-4a7d-b187-616a1c4e8b07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28E565BA9B7344D951DF967E219807F" ma:contentTypeVersion="10" ma:contentTypeDescription="Vytvoří nový dokument" ma:contentTypeScope="" ma:versionID="4e07851fa44c4e7e59a66deb87ac277b">
  <xsd:schema xmlns:xsd="http://www.w3.org/2001/XMLSchema" xmlns:xs="http://www.w3.org/2001/XMLSchema" xmlns:p="http://schemas.microsoft.com/office/2006/metadata/properties" xmlns:ns2="37bc87a4-8456-4a7d-b187-616a1c4e8b07" xmlns:ns3="d278e382-40cc-4461-b2fd-63b15cfb7047" targetNamespace="http://schemas.microsoft.com/office/2006/metadata/properties" ma:root="true" ma:fieldsID="fc737f4e6499d7a7fc30df9be8c7521b" ns2:_="" ns3:_="">
    <xsd:import namespace="37bc87a4-8456-4a7d-b187-616a1c4e8b07"/>
    <xsd:import namespace="d278e382-40cc-4461-b2fd-63b15cfb70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bc87a4-8456-4a7d-b187-616a1c4e8b0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Značky obrázků" ma:readOnly="false" ma:fieldId="{5cf76f15-5ced-4ddc-b409-7134ff3c332f}" ma:taxonomyMulti="true" ma:sspId="dfcc1f56-645d-4665-865a-b429631bd70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78e382-40cc-4461-b2fd-63b15cfb704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31fda787-5de1-445c-b2e5-0df95900a9f8}" ma:internalName="TaxCatchAll" ma:showField="CatchAllData" ma:web="d278e382-40cc-4461-b2fd-63b15cfb70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BFC6073-776C-4D8F-BE32-3139E6DB26B5}"/>
</file>

<file path=customXml/itemProps2.xml><?xml version="1.0" encoding="utf-8"?>
<ds:datastoreItem xmlns:ds="http://schemas.openxmlformats.org/officeDocument/2006/customXml" ds:itemID="{C0543BF5-C492-4CCB-BDF2-ED8964F85643}"/>
</file>

<file path=customXml/itemProps3.xml><?xml version="1.0" encoding="utf-8"?>
<ds:datastoreItem xmlns:ds="http://schemas.openxmlformats.org/officeDocument/2006/customXml" ds:itemID="{7F8DF1A7-DDE7-4C3E-A4BE-D3F2BB5A683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Jindřich Piroutek</dc:creator>
  <cp:keywords/>
  <dc:description/>
  <cp:lastModifiedBy/>
  <cp:revision/>
  <dcterms:created xsi:type="dcterms:W3CDTF">2024-05-23T16:03:07Z</dcterms:created>
  <dcterms:modified xsi:type="dcterms:W3CDTF">2026-03-04T07:34:52Z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0x010100028E565BA9B7344D951DF967E219807F</vt:lpwstr>
  </property>
  <property fmtid="{D5CDD505-2E9C-101B-9397-08002B2CF9AE}" pid="3" name="MediaServiceImageTags">
    <vt:lpwstr/>
  </property>
</Properties>
</file>