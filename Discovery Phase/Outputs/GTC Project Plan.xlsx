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569" firstSheet="0" activeTab="0" autoFilterDateGrouping="1"/>
  </bookViews>
  <sheets>
    <sheet name="Technical Enabl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harset val="238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238"/>
      <family val="2"/>
      <color theme="1"/>
      <sz val="14"/>
      <scheme val="minor"/>
    </font>
    <font>
      <name val="Aptos Narrow"/>
      <charset val="238"/>
      <family val="2"/>
      <b val="1"/>
      <color theme="1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2" fillId="0" borderId="0" pivotButton="0" quotePrefix="0" xfId="0"/>
    <xf numFmtId="0" fontId="1" fillId="0" borderId="1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I123"/>
  <sheetViews>
    <sheetView tabSelected="1" workbookViewId="0">
      <pane ySplit="1" topLeftCell="A53" activePane="bottomLeft" state="frozen"/>
      <selection pane="bottomLeft" activeCell="A23" sqref="A23:XFD23"/>
    </sheetView>
  </sheetViews>
  <sheetFormatPr baseColWidth="8" defaultColWidth="8.86328125" defaultRowHeight="14.25"/>
  <cols>
    <col width="35.73046875" bestFit="1" customWidth="1" min="1" max="1"/>
    <col width="56.3984375" bestFit="1" customWidth="1" min="2" max="2"/>
    <col width="18.1328125" customWidth="1" min="3" max="3"/>
    <col width="20.265625" bestFit="1" customWidth="1" min="4" max="4"/>
    <col width="20.3984375" bestFit="1" customWidth="1" min="5" max="5"/>
    <col width="14.3984375" bestFit="1" customWidth="1" min="6" max="6"/>
    <col width="13.3984375" customWidth="1" style="5" min="7" max="7"/>
    <col width="5.265625" customWidth="1" min="8" max="8"/>
    <col width="88.265625" bestFit="1" customWidth="1" min="9" max="9"/>
  </cols>
  <sheetData>
    <row r="1" ht="18.75" customHeight="1">
      <c r="A1" s="1" t="inlineStr">
        <is>
          <t>Epic</t>
        </is>
      </c>
      <c r="B1" s="1" t="inlineStr">
        <is>
          <t>User Story</t>
        </is>
      </c>
      <c r="C1" s="1" t="inlineStr">
        <is>
          <t>Type</t>
        </is>
      </c>
      <c r="D1" s="1" t="inlineStr">
        <is>
          <t>Dev Scope</t>
        </is>
      </c>
      <c r="E1" s="2" t="inlineStr">
        <is>
          <t>Est. BE</t>
        </is>
      </c>
      <c r="F1" s="2" t="inlineStr">
        <is>
          <t xml:space="preserve">Est. FE </t>
        </is>
      </c>
      <c r="G1" s="2" t="inlineStr">
        <is>
          <t>Estimation</t>
        </is>
      </c>
      <c r="H1" s="2" t="n"/>
      <c r="I1" s="1" t="inlineStr">
        <is>
          <t>Comment</t>
        </is>
      </c>
    </row>
    <row r="2">
      <c r="A2" s="5" t="inlineStr">
        <is>
          <t>Foundation Configuration</t>
        </is>
      </c>
      <c r="B2" s="5" t="n"/>
      <c r="C2" s="5" t="n"/>
      <c r="D2" s="5" t="n"/>
      <c r="E2" s="5" t="n"/>
      <c r="F2" s="5" t="n"/>
    </row>
    <row r="3">
      <c r="B3" t="inlineStr">
        <is>
          <t>CI/CD pipelines for Middleware</t>
        </is>
      </c>
      <c r="G3" s="5">
        <f>MAX(E3:F3)</f>
        <v/>
      </c>
    </row>
    <row r="4">
      <c r="B4" t="inlineStr">
        <is>
          <t>Sitecore Multisite Configuration &amp; GTC Site Setup</t>
        </is>
      </c>
      <c r="G4" s="5">
        <f>MAX(E4:F4)</f>
        <v/>
      </c>
    </row>
    <row r="5">
      <c r="B5" t="inlineStr">
        <is>
          <t>Vercel multisite project configuration for GTC</t>
        </is>
      </c>
      <c r="G5" s="5">
        <f>MAX(E5:F5)</f>
        <v/>
      </c>
    </row>
    <row r="6">
      <c r="B6" t="inlineStr">
        <is>
          <t>GTC site definition in Sitecore</t>
        </is>
      </c>
      <c r="G6" s="5">
        <f>MAX(E6:F6)</f>
        <v/>
      </c>
    </row>
    <row r="7">
      <c r="B7" t="inlineStr">
        <is>
          <t>Local dev environment setup for GTC developers</t>
        </is>
      </c>
      <c r="G7" s="5">
        <f>MAX(E7:F7)</f>
        <v/>
      </c>
    </row>
    <row r="8">
      <c r="B8" t="inlineStr">
        <is>
          <t>CI/CD pipelines in Vercel for GTC project</t>
        </is>
      </c>
      <c r="G8" s="5">
        <f>MAX(E8:F8)</f>
        <v/>
      </c>
    </row>
    <row r="9">
      <c r="B9" t="inlineStr">
        <is>
          <t>Cloud SQL (PostgreSQL) instance provisioning</t>
        </is>
      </c>
      <c r="G9" s="5">
        <f>MAX(E9:F9)</f>
        <v/>
      </c>
    </row>
    <row r="10">
      <c r="B10" t="inlineStr">
        <is>
          <t>Middleware project scaffold and Cloud Run deployment pipeline</t>
        </is>
      </c>
      <c r="G10" s="5">
        <f>MAX(E10:F10)</f>
        <v/>
      </c>
    </row>
    <row r="11">
      <c r="A11" s="5" t="inlineStr">
        <is>
          <t>Content Model &amp; Data Templates</t>
        </is>
      </c>
    </row>
    <row r="12">
      <c r="B12" t="inlineStr">
        <is>
          <t>Collection Page</t>
        </is>
      </c>
      <c r="G12" s="5">
        <f>MAX(E12:F12)</f>
        <v/>
      </c>
    </row>
    <row r="13">
      <c r="B13" t="inlineStr">
        <is>
          <t>Story Page</t>
        </is>
      </c>
      <c r="G13" s="5">
        <f>MAX(E13:F13)</f>
        <v/>
      </c>
    </row>
    <row r="14">
      <c r="B14" t="inlineStr">
        <is>
          <t>Quiz page</t>
        </is>
      </c>
      <c r="G14" s="5">
        <f>MAX(E14:F14)</f>
        <v/>
      </c>
    </row>
    <row r="15">
      <c r="B15" t="inlineStr">
        <is>
          <t>Data Items - Chapter, Course, Question, Menu Category</t>
        </is>
      </c>
      <c r="G15" s="5">
        <f>MAX(E15:F15)</f>
        <v/>
      </c>
    </row>
    <row r="16">
      <c r="B16" t="inlineStr">
        <is>
          <t>GTC Home Page</t>
        </is>
      </c>
      <c r="G16" s="5">
        <f>MAX(E16:F16)</f>
        <v/>
      </c>
    </row>
    <row r="17">
      <c r="B17" t="inlineStr">
        <is>
          <t>GTC General Page</t>
        </is>
      </c>
      <c r="G17" s="5">
        <f>MAX(E17:F17)</f>
        <v/>
      </c>
      <c r="I17" t="inlineStr">
        <is>
          <t>Can we reuse the Neo page?</t>
        </is>
      </c>
    </row>
    <row r="18">
      <c r="A18" s="5" t="inlineStr">
        <is>
          <t>Main Layout and Navigation</t>
        </is>
      </c>
    </row>
    <row r="19">
      <c r="B19" t="inlineStr">
        <is>
          <t>Menu Navigation</t>
        </is>
      </c>
      <c r="G19" s="5">
        <f>MAX(E19:F19)</f>
        <v/>
      </c>
    </row>
    <row r="20">
      <c r="B20" t="inlineStr">
        <is>
          <t>Header</t>
        </is>
      </c>
      <c r="G20" s="5">
        <f>MAX(E20:F20)</f>
        <v/>
      </c>
    </row>
    <row r="21">
      <c r="G21" s="5">
        <f>MAX(E21:F21)</f>
        <v/>
      </c>
    </row>
    <row r="22">
      <c r="B22" t="inlineStr">
        <is>
          <t>Footer</t>
        </is>
      </c>
      <c r="G22" s="5">
        <f>MAX(E22:F22)</f>
        <v/>
      </c>
    </row>
    <row r="23">
      <c r="A23" s="5" t="inlineStr">
        <is>
          <t>Publishing Workflow</t>
        </is>
      </c>
    </row>
    <row r="24">
      <c r="B24" t="inlineStr">
        <is>
          <t>Publishing Workflow implementation</t>
        </is>
      </c>
      <c r="G24" s="5">
        <f>MAX(E24:F24)</f>
        <v/>
      </c>
      <c r="I24" t="inlineStr">
        <is>
          <t>Most probably reusing the Neo workflow</t>
        </is>
      </c>
    </row>
    <row r="25">
      <c r="A25" s="5" t="inlineStr">
        <is>
          <t>Phraze Integration</t>
        </is>
      </c>
    </row>
    <row r="26">
      <c r="B26" t="inlineStr">
        <is>
          <t>Phrase Integration implementation</t>
        </is>
      </c>
      <c r="G26" s="5">
        <f>MAX(E26:F26)</f>
        <v/>
      </c>
    </row>
    <row r="27">
      <c r="A27" s="5" t="inlineStr">
        <is>
          <t>Cookies Consent integration</t>
        </is>
      </c>
    </row>
    <row r="28">
      <c r="B28" t="inlineStr">
        <is>
          <t>Cookies Consent integration implementation</t>
        </is>
      </c>
      <c r="G28" s="5">
        <f>MAX(E28:F28)</f>
        <v/>
      </c>
    </row>
    <row r="29">
      <c r="A29" s="5" t="inlineStr">
        <is>
          <t>Analytics</t>
        </is>
      </c>
    </row>
    <row r="30">
      <c r="B30" t="inlineStr">
        <is>
          <t>GTM analytics integration</t>
        </is>
      </c>
      <c r="G30" s="5">
        <f>MAX(E30:F30)</f>
        <v/>
      </c>
    </row>
    <row r="31">
      <c r="A31" s="5" t="inlineStr">
        <is>
          <t>User Management</t>
        </is>
      </c>
    </row>
    <row r="32">
      <c r="B32" t="inlineStr">
        <is>
          <t>IDP Authentication</t>
        </is>
      </c>
      <c r="G32" s="5">
        <f>MAX(E32:F32)</f>
        <v/>
      </c>
    </row>
    <row r="33">
      <c r="B33" t="inlineStr">
        <is>
          <t>Login Page</t>
        </is>
      </c>
      <c r="G33" s="5">
        <f>MAX(E33:F33)</f>
        <v/>
      </c>
    </row>
    <row r="34">
      <c r="B34" t="inlineStr">
        <is>
          <t>Partial Registraion</t>
        </is>
      </c>
      <c r="G34" s="5">
        <f>MAX(E34:F34)</f>
        <v/>
      </c>
    </row>
    <row r="35">
      <c r="B35" t="inlineStr">
        <is>
          <t xml:space="preserve">New Registartion </t>
        </is>
      </c>
      <c r="G35" s="5">
        <f>MAX(E35:F35)</f>
        <v/>
      </c>
      <c r="I35" t="inlineStr">
        <is>
          <t>Just a link to the Neo Registration page</t>
        </is>
      </c>
    </row>
    <row r="36">
      <c r="A36" s="5" t="inlineStr">
        <is>
          <t>My Account</t>
        </is>
      </c>
    </row>
    <row r="37">
      <c r="B37" t="inlineStr">
        <is>
          <t xml:space="preserve">My Account </t>
        </is>
      </c>
      <c r="G37" s="5">
        <f>MAX(E37:F37)</f>
        <v/>
      </c>
    </row>
    <row r="38">
      <c r="B38" t="inlineStr">
        <is>
          <t>My Completed Courses</t>
        </is>
      </c>
      <c r="G38" s="5">
        <f>MAX(E38:F38)</f>
        <v/>
      </c>
    </row>
    <row r="39">
      <c r="A39" s="5" t="inlineStr">
        <is>
          <t>Learning Progress Tracking</t>
        </is>
      </c>
    </row>
    <row r="40">
      <c r="B40" t="inlineStr">
        <is>
          <t>Database schema implementation</t>
        </is>
      </c>
      <c r="G40" s="5">
        <f>MAX(E40:F40)</f>
        <v/>
      </c>
    </row>
    <row r="41">
      <c r="A41" s="8" t="n"/>
      <c r="B41" t="inlineStr">
        <is>
          <t>GTC Tracking Middleware implementation (course, chapter, quiz)</t>
        </is>
      </c>
      <c r="G41" s="5">
        <f>MAX(E41:F41)</f>
        <v/>
      </c>
    </row>
    <row r="42">
      <c r="B42" t="inlineStr">
        <is>
          <t>Scroll-based chapter completion component (FE)</t>
        </is>
      </c>
      <c r="G42" s="5">
        <f>MAX(E42:F42)</f>
        <v/>
      </c>
    </row>
    <row r="43">
      <c r="B43" t="inlineStr">
        <is>
          <t>Training completion status UI (module read indicators, quiz status, certificate CTA states)</t>
        </is>
      </c>
      <c r="G43" s="5">
        <f>MAX(E43:F43)</f>
        <v/>
      </c>
    </row>
    <row r="44">
      <c r="A44" s="5" t="inlineStr">
        <is>
          <t xml:space="preserve">Quiz Component </t>
        </is>
      </c>
    </row>
    <row r="45">
      <c r="B45" t="inlineStr">
        <is>
          <t>Quiz component implementation</t>
        </is>
      </c>
      <c r="G45" s="5">
        <f>MAX(E44:F44)</f>
        <v/>
      </c>
    </row>
    <row r="46">
      <c r="B46" t="inlineStr">
        <is>
          <t>Question types implementation</t>
        </is>
      </c>
      <c r="G46" s="5">
        <f>MAX(E45:F45)</f>
        <v/>
      </c>
    </row>
    <row r="47">
      <c r="B47" t="inlineStr">
        <is>
          <t>Quiz progress tracking FE</t>
        </is>
      </c>
      <c r="G47" s="5">
        <f>MAX(E46:F46)</f>
        <v/>
      </c>
    </row>
    <row r="48">
      <c r="A48" s="5" t="inlineStr">
        <is>
          <t xml:space="preserve">Certification Management </t>
        </is>
      </c>
      <c r="B48" s="5" t="n"/>
      <c r="C48" s="5" t="n"/>
      <c r="D48" s="5" t="n"/>
      <c r="E48" s="5" t="n"/>
      <c r="F48" s="5" t="n"/>
    </row>
    <row r="49">
      <c r="B49" t="inlineStr">
        <is>
          <t>Certificate Generation Middleware implementation</t>
        </is>
      </c>
      <c r="G49" s="5">
        <f>MAX(E48:F48)</f>
        <v/>
      </c>
      <c r="I49" s="7" t="n"/>
    </row>
    <row r="50">
      <c r="B50" t="inlineStr">
        <is>
          <t>Certificate PDF template implementation</t>
        </is>
      </c>
      <c r="G50" s="5">
        <f>MAX(E50:F50)</f>
        <v/>
      </c>
    </row>
    <row r="51">
      <c r="A51" s="5" t="inlineStr">
        <is>
          <t>Forms</t>
        </is>
      </c>
    </row>
    <row r="52">
      <c r="B52" t="inlineStr">
        <is>
          <t>Feedback form</t>
        </is>
      </c>
      <c r="G52" s="5">
        <f>MAX(E50:F50)</f>
        <v/>
      </c>
    </row>
    <row r="53">
      <c r="B53" t="inlineStr">
        <is>
          <t>Footer Form</t>
        </is>
      </c>
      <c r="G53" s="5">
        <f>MAX(E51:F51)</f>
        <v/>
      </c>
    </row>
    <row r="54">
      <c r="A54" s="5" t="inlineStr">
        <is>
          <t>Search</t>
        </is>
      </c>
    </row>
    <row r="55">
      <c r="B55" t="inlineStr">
        <is>
          <t>Search Implementation</t>
        </is>
      </c>
      <c r="G55" s="5">
        <f>MAX(E53:F53)</f>
        <v/>
      </c>
    </row>
    <row r="56">
      <c r="A56" s="5" t="inlineStr">
        <is>
          <t>Content Components</t>
        </is>
      </c>
    </row>
    <row r="57">
      <c r="B57" t="inlineStr">
        <is>
          <t>Slideshow / Text Slider</t>
        </is>
      </c>
      <c r="G57" s="5">
        <f>MAX(E55:F55)</f>
        <v/>
      </c>
    </row>
    <row r="58">
      <c r="B58" t="inlineStr">
        <is>
          <t>A/B Slider</t>
        </is>
      </c>
      <c r="G58" s="5">
        <f>MAX(E56:F56)</f>
        <v/>
      </c>
    </row>
    <row r="59">
      <c r="B59" t="inlineStr">
        <is>
          <t>Accordion</t>
        </is>
      </c>
      <c r="G59" s="5">
        <f>MAX(E57:F57)</f>
        <v/>
      </c>
    </row>
    <row r="60">
      <c r="B60" t="inlineStr">
        <is>
          <t>Image Tabs</t>
        </is>
      </c>
      <c r="G60" s="5">
        <f>MAX(E58:F58)</f>
        <v/>
      </c>
    </row>
    <row r="61">
      <c r="B61" t="inlineStr">
        <is>
          <t>Hotspots</t>
        </is>
      </c>
      <c r="G61" s="5">
        <f>MAX(E59:F59)</f>
        <v/>
      </c>
    </row>
    <row r="62">
      <c r="B62" t="inlineStr">
        <is>
          <t>Editorial Text</t>
        </is>
      </c>
      <c r="G62" s="5">
        <f>MAX(E60:F60)</f>
        <v/>
      </c>
    </row>
    <row r="63">
      <c r="A63" s="5" t="inlineStr">
        <is>
          <t xml:space="preserve">Looker Studio integration </t>
        </is>
      </c>
      <c r="B63" s="5" t="n"/>
      <c r="C63" s="5" t="n"/>
      <c r="D63" s="5" t="n"/>
      <c r="E63" s="5" t="n"/>
      <c r="F63" s="5" t="n"/>
    </row>
    <row r="64">
      <c r="B64" t="inlineStr">
        <is>
          <t>Forms data integration</t>
        </is>
      </c>
      <c r="G64" s="5">
        <f>MAX(E62:F62)</f>
        <v/>
      </c>
    </row>
    <row r="65">
      <c r="B65" t="inlineStr">
        <is>
          <t>Learning Data Integration</t>
        </is>
      </c>
      <c r="G65" s="5">
        <f>MAX(E63:F63)</f>
        <v/>
      </c>
    </row>
    <row r="66">
      <c r="A66" s="5" t="inlineStr">
        <is>
          <t>Personalisation</t>
        </is>
      </c>
    </row>
    <row r="67">
      <c r="B67" t="inlineStr">
        <is>
          <t>Personalization based on the Target Group implementation</t>
        </is>
      </c>
      <c r="G67" s="5">
        <f>MAX(E65:F65)</f>
        <v/>
      </c>
      <c r="I67" t="inlineStr">
        <is>
          <t>Includes both component-level visibility (hide/show blocks per role) AND training list filtering by role availability</t>
        </is>
      </c>
    </row>
    <row r="68">
      <c r="A68" s="8" t="inlineStr">
        <is>
          <t>Content editor roles and permissions</t>
        </is>
      </c>
    </row>
    <row r="69">
      <c r="B69" t="inlineStr">
        <is>
          <t>Set up the roles and permissions</t>
        </is>
      </c>
      <c r="G69" s="5">
        <f>MAX(E67:F67)</f>
        <v/>
      </c>
    </row>
    <row r="70">
      <c r="A70" s="8" t="inlineStr">
        <is>
          <t>User Tracking Migration</t>
        </is>
      </c>
    </row>
    <row r="71">
      <c r="B71" t="inlineStr">
        <is>
          <t>Learning Data Migration</t>
        </is>
      </c>
      <c r="G71" s="5">
        <f>MAX(E69:F69)</f>
        <v/>
      </c>
    </row>
    <row r="72">
      <c r="A72" s="8" t="inlineStr">
        <is>
          <t>Content Migration</t>
        </is>
      </c>
    </row>
    <row r="73">
      <c r="B73" t="inlineStr">
        <is>
          <t>Content Migration Automation</t>
        </is>
      </c>
      <c r="G73" s="5">
        <f>MAX(E71:F71)</f>
        <v/>
      </c>
    </row>
    <row r="74">
      <c r="B74" t="inlineStr">
        <is>
          <t>Content Migration per se</t>
        </is>
      </c>
      <c r="G74" s="5">
        <f>MAX(E72:F72)</f>
        <v/>
      </c>
    </row>
    <row r="75">
      <c r="A75" s="8" t="inlineStr">
        <is>
          <t>Launch</t>
        </is>
      </c>
    </row>
    <row r="76">
      <c r="B76" t="inlineStr">
        <is>
          <t>Domain finalization (training.grohe.com vs grohe.com/training)</t>
        </is>
      </c>
      <c r="G76" s="5">
        <f>MAX(E76:F76)</f>
        <v/>
      </c>
    </row>
    <row r="77">
      <c r="B77" t="inlineStr">
        <is>
          <t>URL structure definition per content type across 19 languages</t>
        </is>
      </c>
      <c r="G77" s="5">
        <f>MAX(E77:F77)</f>
        <v/>
      </c>
    </row>
    <row r="78">
      <c r="B78" t="inlineStr">
        <is>
          <t>Hreflang &amp; canonical tag implementation</t>
        </is>
      </c>
      <c r="G78" s="5">
        <f>MAX(E78:F78)</f>
        <v/>
      </c>
    </row>
    <row r="79">
      <c r="B79" t="inlineStr">
        <is>
          <t>Metadata templates (title, description, OG) per content type</t>
        </is>
      </c>
      <c r="G79" s="5">
        <f>MAX(E79:F79)</f>
        <v/>
      </c>
    </row>
    <row r="80">
      <c r="B80" t="inlineStr">
        <is>
          <t>Sitemap generation and submission</t>
        </is>
      </c>
      <c r="G80" s="5">
        <f>MAX(E80:F80)</f>
        <v/>
      </c>
    </row>
    <row r="81">
      <c r="B81" t="inlineStr">
        <is>
          <t>Redirects URL mapping delivery to NEO team</t>
        </is>
      </c>
      <c r="G81" s="5">
        <f>MAX(E81:F81)</f>
        <v/>
      </c>
    </row>
    <row r="82" ht="18.75" customHeight="1">
      <c r="A82" s="8" t="inlineStr">
        <is>
          <t>UAT &amp; Quality Assurance</t>
        </is>
      </c>
    </row>
    <row r="83">
      <c r="B83" t="inlineStr">
        <is>
          <t>E2E test suite (page types, quiz flows, tracking, forms, certificates)</t>
        </is>
      </c>
      <c r="G83" s="5">
        <f>MAX(E78:F78)</f>
        <v/>
      </c>
    </row>
    <row r="84">
      <c r="B84" t="inlineStr">
        <is>
          <t>Accessibility audit (WCAG 2.1 AA)</t>
        </is>
      </c>
      <c r="G84" s="5">
        <f>MAX(E79:F79)</f>
        <v/>
      </c>
    </row>
    <row r="85">
      <c r="B85" t="inlineStr">
        <is>
          <t>Cross-browser &amp; cross-device testing</t>
        </is>
      </c>
      <c r="G85" s="5">
        <f>MAX(E80:F80)</f>
        <v/>
      </c>
    </row>
    <row r="86">
      <c r="B86" t="inlineStr">
        <is>
          <t>Performance baseline (Core Web Vitals, Vercel, Cloud Run)</t>
        </is>
      </c>
      <c r="G86" s="5">
        <f>MAX(E81:F81)</f>
        <v/>
      </c>
    </row>
    <row r="87">
      <c r="B87" t="inlineStr">
        <is>
          <t>Security review (JWT, Signed URLs, Middleware API, Cloud SQL)</t>
        </is>
      </c>
      <c r="G87" s="5">
        <f>MAX(E82:F82)</f>
        <v/>
      </c>
    </row>
    <row r="88">
      <c r="B88" t="inlineStr">
        <is>
          <t>Content quality check (migrated content sign-off by GTC team)</t>
        </is>
      </c>
      <c r="G88" s="5">
        <f>MAX(E83:F83)</f>
        <v/>
      </c>
    </row>
    <row r="89">
      <c r="A89" s="8" t="inlineStr">
        <is>
          <t>Training &amp; Handover</t>
        </is>
      </c>
    </row>
    <row r="90">
      <c r="B90" t="inlineStr">
        <is>
          <t>Sitecore authoring training for GTC content editors</t>
        </is>
      </c>
      <c r="G90" s="5">
        <f>MAX(E85:F85)</f>
        <v/>
      </c>
    </row>
    <row r="91">
      <c r="B91" t="inlineStr">
        <is>
          <t xml:space="preserve">Looker Studio dashboard walkthrough </t>
        </is>
      </c>
      <c r="G91" s="5">
        <f>MAX(E86:F86)</f>
        <v/>
      </c>
    </row>
    <row r="92">
      <c r="B92" t="inlineStr">
        <is>
          <t>Middleware operational runbook (deployment, scaling, incident response)</t>
        </is>
      </c>
      <c r="G92" s="5">
        <f>MAX(E92:F92)</f>
        <v/>
      </c>
    </row>
    <row r="93">
      <c r="B93" t="inlineStr">
        <is>
          <t>Handover to SoE for ongoing platform ownership</t>
        </is>
      </c>
      <c r="G93" s="5">
        <f>MAX(E87:F87)</f>
        <v/>
      </c>
    </row>
    <row r="94">
      <c r="A94" s="8" t="inlineStr">
        <is>
          <t>Go-Live &amp; Cutover</t>
        </is>
      </c>
    </row>
    <row r="95">
      <c r="B95" t="inlineStr">
        <is>
          <t>Cutover runbook with rollback plan</t>
        </is>
      </c>
      <c r="G95" s="5">
        <f>MAX(E89:F89)</f>
        <v/>
      </c>
    </row>
    <row r="96">
      <c r="B96" t="inlineStr">
        <is>
          <t>DNS cutover for training.grohe.com</t>
        </is>
      </c>
      <c r="G96" s="5">
        <f>MAX(E90:F90)</f>
        <v/>
      </c>
    </row>
    <row r="97">
      <c r="B97" t="inlineStr">
        <is>
          <t>Post-launch monitoring setup (Cloud Run, Cloud SQL, Vercel)</t>
        </is>
      </c>
      <c r="G97" s="5">
        <f>MAX(E91:F91)</f>
        <v/>
      </c>
    </row>
    <row r="98">
      <c r="B98" t="inlineStr">
        <is>
          <t>Hypercare period (Actum on-call post-launch)</t>
        </is>
      </c>
      <c r="G98" s="5">
        <f>MAX(E92:F92)</f>
        <v/>
      </c>
    </row>
    <row r="99"/>
    <row r="100"/>
    <row r="101"/>
    <row r="102"/>
    <row r="103"/>
    <row r="104"/>
    <row r="105"/>
    <row r="106"/>
    <row r="107"/>
    <row r="108"/>
    <row r="109"/>
    <row r="110"/>
    <row r="111" ht="18" customHeight="1"/>
    <row r="112"/>
    <row r="113" ht="18" customHeight="1"/>
    <row r="114"/>
    <row r="115"/>
    <row r="116"/>
    <row r="117">
      <c r="D117" s="3" t="inlineStr">
        <is>
          <t>Total complexity:</t>
        </is>
      </c>
      <c r="E117" s="4">
        <f>SUM(E2:E100)</f>
        <v/>
      </c>
      <c r="F117" s="4">
        <f>SUM(F2:F100)</f>
        <v/>
      </c>
      <c r="G117" s="6">
        <f>SUM(G2:G100)</f>
        <v/>
      </c>
    </row>
    <row r="118"/>
    <row r="119"/>
    <row r="120"/>
    <row r="121">
      <c r="E121" t="inlineStr">
        <is>
          <t>Enablement</t>
        </is>
      </c>
      <c r="G121" s="5">
        <f>SUM(G3:G49)</f>
        <v/>
      </c>
    </row>
    <row r="122">
      <c r="E122" t="inlineStr">
        <is>
          <t>R1</t>
        </is>
      </c>
      <c r="G122" s="5">
        <f>SUM(G52:G70)</f>
        <v/>
      </c>
    </row>
    <row r="123">
      <c r="E123" t="inlineStr">
        <is>
          <t>R2</t>
        </is>
      </c>
      <c r="G123" s="5">
        <f>SUM(G73:G78)</f>
        <v/>
      </c>
    </row>
  </sheetData>
  <conditionalFormatting sqref="G3:G94">
    <cfRule type="iconSet" priority="34">
      <iconSet>
        <cfvo type="percent" val="0"/>
        <cfvo type="num" val="1"/>
        <cfvo type="num" val="2"/>
      </iconSet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Jindřich Piroutek</dc:creator>
  <dcterms:created xsi:type="dcterms:W3CDTF">2024-05-23T16:03:07Z</dcterms:created>
  <dcterms:modified xsi:type="dcterms:W3CDTF">2026-03-04T16:49:54Z</dcterms:modified>
  <cp:lastModifiedBy>Artsiom Dylevich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0x010100028E565BA9B7344D951DF967E219807F</vt:lpwstr>
  </property>
  <property name="MediaServiceImageTags" fmtid="{D5CDD505-2E9C-101B-9397-08002B2CF9AE}" pid="3">
    <vt:lpwstr/>
  </property>
</Properties>
</file>